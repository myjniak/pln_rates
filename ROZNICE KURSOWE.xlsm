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yjni\PycharmProjects\pln_rates\"/>
    </mc:Choice>
  </mc:AlternateContent>
  <xr:revisionPtr revIDLastSave="0" documentId="13_ncr:1_{815228D6-CF37-4940-A15B-4E2CCF019BF2}" xr6:coauthVersionLast="47" xr6:coauthVersionMax="47" xr10:uidLastSave="{00000000-0000-0000-0000-000000000000}"/>
  <bookViews>
    <workbookView xWindow="1956" yWindow="5220" windowWidth="31044" windowHeight="17892" xr2:uid="{00000000-000D-0000-FFFF-FFFF00000000}"/>
  </bookViews>
  <sheets>
    <sheet name="Faktury_Walutowe" sheetId="2" r:id="rId1"/>
    <sheet name="macro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" l="1"/>
  <c r="I10" i="2" s="1"/>
  <c r="I11" i="2" l="1"/>
  <c r="I6" i="2"/>
  <c r="I4" i="2" l="1"/>
  <c r="I5" i="2" s="1"/>
  <c r="F5" i="3" l="1"/>
  <c r="D4" i="3"/>
  <c r="F3" i="3"/>
  <c r="D2" i="3"/>
  <c r="H5" i="3" l="1"/>
  <c r="H3" i="3"/>
</calcChain>
</file>

<file path=xl/sharedStrings.xml><?xml version="1.0" encoding="utf-8"?>
<sst xmlns="http://schemas.openxmlformats.org/spreadsheetml/2006/main" count="13" uniqueCount="13">
  <si>
    <t>Kontrahent</t>
  </si>
  <si>
    <t>nr faktury</t>
  </si>
  <si>
    <t>Data faktury</t>
  </si>
  <si>
    <t>Data zapłaty</t>
  </si>
  <si>
    <t>Kurs faktury</t>
  </si>
  <si>
    <t>Kwota faktury PLN</t>
  </si>
  <si>
    <t>Kwota zapłaty PLN</t>
  </si>
  <si>
    <t>Różnica dodatnia</t>
  </si>
  <si>
    <t>Kurs faktury - tabela NBP</t>
  </si>
  <si>
    <t>Kurs zapłaty - tabela NBP</t>
  </si>
  <si>
    <t>Różnica ujemna</t>
  </si>
  <si>
    <t>Kurs zapłaty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</si>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</sst>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zł&quot;"/>
    <numFmt numFmtId="165" formatCode="0.0000"/>
    <numFmt numFmtId="166" formatCode="##0.00#\ [$zł]"/>
    <numFmt numFmtId="167" formatCode="#,##0.0000\ [$zł-415]"/>
    <numFmt numFmtId="168" formatCode="#,##0.00\ _z_ł"/>
  </numFmts>
  <fonts count="7" x14ac:knownFonts="1">
    <font>
      <sz val="10"/>
      <name val="Arial CE"/>
      <charset val="238"/>
    </font>
    <font>
      <b/>
      <sz val="10"/>
      <name val="Arial CE"/>
      <charset val="238"/>
    </font>
    <font>
      <sz val="10"/>
      <color rgb="FF000000"/>
      <name val="Arial CE"/>
    </font>
    <font>
      <b/>
      <sz val="12"/>
      <name val="Arial CE"/>
    </font>
    <font>
      <sz val="9"/>
      <name val="Arial CE"/>
      <charset val="238"/>
    </font>
    <font>
      <sz val="10"/>
      <color theme="0" tint="-0.499984740745262"/>
      <name val="Arial CE"/>
      <charset val="238"/>
    </font>
    <font>
      <b/>
      <sz val="10"/>
      <color rgb="FF000000"/>
      <name val="Arial CE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0" borderId="1" xfId="0" applyNumberFormat="1" applyFont="1" applyBorder="1"/>
    <xf numFmtId="0" fontId="0" fillId="3" borderId="3" xfId="0" applyFill="1" applyBorder="1" applyAlignment="1">
      <alignment horizontal="center" vertical="center"/>
    </xf>
    <xf numFmtId="164" fontId="1" fillId="3" borderId="3" xfId="0" applyNumberFormat="1" applyFont="1" applyFill="1" applyBorder="1"/>
    <xf numFmtId="14" fontId="1" fillId="0" borderId="1" xfId="0" applyNumberFormat="1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4" fontId="1" fillId="3" borderId="3" xfId="0" applyNumberFormat="1" applyFont="1" applyFill="1" applyBorder="1" applyAlignment="1">
      <alignment horizontal="center"/>
    </xf>
    <xf numFmtId="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 wrapText="1"/>
    </xf>
    <xf numFmtId="14" fontId="0" fillId="0" borderId="0" xfId="0" applyNumberFormat="1"/>
    <xf numFmtId="0" fontId="1" fillId="0" borderId="1" xfId="0" applyFont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4" fillId="0" borderId="0" xfId="0" applyNumberFormat="1" applyFont="1"/>
    <xf numFmtId="167" fontId="5" fillId="5" borderId="0" xfId="0" applyNumberFormat="1" applyFont="1" applyFill="1"/>
    <xf numFmtId="168" fontId="1" fillId="3" borderId="3" xfId="0" applyNumberFormat="1" applyFont="1" applyFill="1" applyBorder="1"/>
    <xf numFmtId="168" fontId="0" fillId="2" borderId="2" xfId="0" applyNumberFormat="1" applyFill="1" applyBorder="1" applyAlignment="1">
      <alignment horizontal="center" vertical="center" wrapText="1"/>
    </xf>
    <xf numFmtId="168" fontId="1" fillId="0" borderId="1" xfId="0" applyNumberFormat="1" applyFont="1" applyBorder="1"/>
    <xf numFmtId="168" fontId="0" fillId="2" borderId="1" xfId="0" applyNumberFormat="1" applyFill="1" applyBorder="1" applyAlignment="1">
      <alignment horizontal="center" vertical="center" wrapText="1"/>
    </xf>
    <xf numFmtId="168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38100</xdr:rowOff>
        </xdr:from>
        <xdr:to>
          <xdr:col>12</xdr:col>
          <xdr:colOff>144780</xdr:colOff>
          <xdr:row>1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NOWA FAKTURA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60960</xdr:rowOff>
        </xdr:from>
        <xdr:to>
          <xdr:col>12</xdr:col>
          <xdr:colOff>144780</xdr:colOff>
          <xdr:row>2</xdr:row>
          <xdr:rowOff>274320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USTAWIENIA MAKRA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5</xdr:row>
          <xdr:rowOff>160020</xdr:rowOff>
        </xdr:from>
        <xdr:to>
          <xdr:col>12</xdr:col>
          <xdr:colOff>175260</xdr:colOff>
          <xdr:row>6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</xdr:row>
          <xdr:rowOff>76200</xdr:rowOff>
        </xdr:from>
        <xdr:to>
          <xdr:col>12</xdr:col>
          <xdr:colOff>152400</xdr:colOff>
          <xdr:row>5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ZAAKTUALIZUJ KURSY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CH"/>
  <dimension ref="I4:I31"/>
  <sheetViews>
    <sheetView tabSelected="1" zoomScale="130" zoomScaleNormal="130" workbookViewId="0"/>
  </sheetViews>
  <sheetFormatPr defaultRowHeight="13.2" x14ac:dyDescent="0.25"/>
  <cols>
    <col min="1" max="1" width="20.88671875" customWidth="1"/>
    <col min="2" max="2" width="18" customWidth="1"/>
    <col min="3" max="3" width="22.5546875" customWidth="1"/>
    <col min="4" max="4" width="14.5546875" customWidth="1"/>
    <col min="5" max="5" width="15.109375" customWidth="1"/>
    <col min="6" max="6" width="16.88671875" bestFit="1" customWidth="1"/>
    <col min="7" max="8" width="17.109375" customWidth="1"/>
    <col min="9" max="9" width="17.33203125" customWidth="1"/>
  </cols>
  <sheetData>
    <row r="4" spans="9:9" ht="14.4" customHeight="1" x14ac:dyDescent="0.25">
      <c r="I4" s="20">
        <f>(ROUND(F4,2))*0.23</f>
        <v>0</v>
      </c>
    </row>
    <row r="5" spans="9:9" x14ac:dyDescent="0.25">
      <c r="I5" s="21">
        <f>I4/2</f>
        <v>0</v>
      </c>
    </row>
    <row r="6" spans="9:9" ht="14.4" customHeight="1" x14ac:dyDescent="0.25">
      <c r="I6" s="21">
        <f>F4/2</f>
        <v>0</v>
      </c>
    </row>
    <row r="9" spans="9:9" ht="14.4" customHeight="1" x14ac:dyDescent="0.25">
      <c r="I9" s="20">
        <f>(ROUND(F9,2))*0.23</f>
        <v>0</v>
      </c>
    </row>
    <row r="10" spans="9:9" x14ac:dyDescent="0.25">
      <c r="I10" s="21">
        <f>I9/2</f>
        <v>0</v>
      </c>
    </row>
    <row r="11" spans="9:9" ht="14.4" customHeight="1" x14ac:dyDescent="0.25">
      <c r="I11" s="21">
        <f>F9/2</f>
        <v>0</v>
      </c>
    </row>
    <row r="14" spans="9:9" ht="14.4" customHeight="1" x14ac:dyDescent="0.25"/>
    <row r="16" spans="9:9" ht="14.4" customHeight="1" x14ac:dyDescent="0.25"/>
    <row r="19" ht="14.4" customHeight="1" x14ac:dyDescent="0.25"/>
    <row r="24" ht="14.4" customHeight="1" x14ac:dyDescent="0.25"/>
    <row r="29" ht="14.4" customHeight="1" x14ac:dyDescent="0.25"/>
    <row r="31" ht="14.4" customHeight="1" x14ac:dyDescent="0.25"/>
  </sheetData>
  <phoneticPr fontId="0" type="noConversion"/>
  <pageMargins left="0.75" right="0.75" top="1" bottom="1" header="0.5" footer="0.5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OWASPRAWA">
                <anchor moveWithCells="1" sizeWithCells="1">
                  <from>
                    <xdr:col>9</xdr:col>
                    <xdr:colOff>0</xdr:colOff>
                    <xdr:row>0</xdr:row>
                    <xdr:rowOff>38100</xdr:rowOff>
                  </from>
                  <to>
                    <xdr:col>12</xdr:col>
                    <xdr:colOff>144780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SETTINGS">
                <anchor moveWithCells="1" sizeWithCells="1">
                  <from>
                    <xdr:col>9</xdr:col>
                    <xdr:colOff>0</xdr:colOff>
                    <xdr:row>2</xdr:row>
                    <xdr:rowOff>60960</xdr:rowOff>
                  </from>
                  <to>
                    <xdr:col>12</xdr:col>
                    <xdr:colOff>144780</xdr:colOff>
                    <xdr:row>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YCZYSC">
                <anchor moveWithCells="1" sizeWithCells="1">
                  <from>
                    <xdr:col>9</xdr:col>
                    <xdr:colOff>30480</xdr:colOff>
                    <xdr:row>5</xdr:row>
                    <xdr:rowOff>160020</xdr:rowOff>
                  </from>
                  <to>
                    <xdr:col>12</xdr:col>
                    <xdr:colOff>175260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ZAAKTUALIZUJ_WSZYSTKO">
                <anchor moveWithCells="1" sizeWithCells="1">
                  <from>
                    <xdr:col>9</xdr:col>
                    <xdr:colOff>7620</xdr:colOff>
                    <xdr:row>3</xdr:row>
                    <xdr:rowOff>76200</xdr:rowOff>
                  </from>
                  <to>
                    <xdr:col>12</xdr:col>
                    <xdr:colOff>152400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acro"/>
  <dimension ref="A1:J39"/>
  <sheetViews>
    <sheetView workbookViewId="0">
      <selection activeCell="J14" sqref="J14"/>
    </sheetView>
  </sheetViews>
  <sheetFormatPr defaultRowHeight="13.2" x14ac:dyDescent="0.25"/>
  <cols>
    <col min="1" max="1" width="43.88671875" customWidth="1"/>
    <col min="3" max="3" width="17" customWidth="1"/>
    <col min="6" max="6" width="8.88671875" style="26"/>
    <col min="7" max="7" width="13.109375" customWidth="1"/>
    <col min="8" max="8" width="13.44140625" customWidth="1"/>
  </cols>
  <sheetData>
    <row r="1" spans="1:10" ht="16.8" thickTop="1" thickBot="1" x14ac:dyDescent="0.3">
      <c r="A1" s="3"/>
      <c r="B1" s="13"/>
      <c r="C1" s="8"/>
      <c r="D1" s="9"/>
      <c r="E1" s="10"/>
      <c r="F1" s="22"/>
      <c r="G1" s="4"/>
      <c r="H1" s="4"/>
    </row>
    <row r="2" spans="1:10" ht="40.200000000000003" thickTop="1" x14ac:dyDescent="0.25">
      <c r="A2" s="12" t="s">
        <v>0</v>
      </c>
      <c r="B2" s="12" t="s">
        <v>1</v>
      </c>
      <c r="C2" s="17" t="s">
        <v>2</v>
      </c>
      <c r="D2" s="12" t="str">
        <f>CONCATENATE("Kwota faktury w ",TEXT($B1,0))</f>
        <v>Kwota faktury w 0</v>
      </c>
      <c r="E2" s="12" t="s">
        <v>4</v>
      </c>
      <c r="F2" s="23" t="s">
        <v>5</v>
      </c>
      <c r="G2" s="14" t="s">
        <v>8</v>
      </c>
      <c r="H2" s="12" t="s">
        <v>7</v>
      </c>
      <c r="J2" t="s">
        <v>12</v>
      </c>
    </row>
    <row r="3" spans="1:10" x14ac:dyDescent="0.25">
      <c r="A3" s="1"/>
      <c r="B3" s="1"/>
      <c r="C3" s="5"/>
      <c r="D3" s="6"/>
      <c r="E3" s="7"/>
      <c r="F3" s="24">
        <f>D3*E3</f>
        <v>0</v>
      </c>
      <c r="G3" s="18"/>
      <c r="H3" s="2">
        <f>IF(D5-D3=0,IF(F5-F3&gt;0,F5-F3,0),IF(D5*E5-D5*E3&gt;0,D5*E5-D5*E3,0))</f>
        <v>0</v>
      </c>
    </row>
    <row r="4" spans="1:10" ht="39.6" x14ac:dyDescent="0.25">
      <c r="A4" s="16"/>
      <c r="B4" s="16"/>
      <c r="C4" s="11" t="s">
        <v>3</v>
      </c>
      <c r="D4" s="11" t="str">
        <f>CONCATENATE("Kwota zapłaty w ",TEXT($B1,0))</f>
        <v>Kwota zapłaty w 0</v>
      </c>
      <c r="E4" s="11" t="s">
        <v>11</v>
      </c>
      <c r="F4" s="25" t="s">
        <v>6</v>
      </c>
      <c r="G4" s="14" t="s">
        <v>9</v>
      </c>
      <c r="H4" s="12" t="s">
        <v>10</v>
      </c>
    </row>
    <row r="5" spans="1:10" x14ac:dyDescent="0.25">
      <c r="A5" s="1"/>
      <c r="B5" s="1"/>
      <c r="C5" s="5"/>
      <c r="D5" s="6"/>
      <c r="E5" s="7"/>
      <c r="F5" s="24">
        <f>D5*E5</f>
        <v>0</v>
      </c>
      <c r="G5" s="18"/>
      <c r="H5" s="2">
        <f>IF(D5-D3=0,IF(F5-F3&lt;0,F5-F3,0),IF(D5*E5-D5*E3&lt;0,D5*E5-D5*E3,0))</f>
        <v>0</v>
      </c>
    </row>
    <row r="7" spans="1:10" x14ac:dyDescent="0.25">
      <c r="C7" s="15"/>
    </row>
    <row r="39" spans="5:5" x14ac:dyDescent="0.25">
      <c r="E39" s="19"/>
    </row>
  </sheetData>
  <sortState xmlns:xlrd2="http://schemas.microsoft.com/office/spreadsheetml/2017/richdata2" ref="A3:G3">
    <sortCondition ref="D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Faktury_Walutowe</vt:lpstr>
      <vt:lpstr>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Michał Szajkowski</cp:lastModifiedBy>
  <cp:lastPrinted>2019-10-18T19:49:11Z</cp:lastPrinted>
  <dcterms:created xsi:type="dcterms:W3CDTF">1997-02-26T13:46:56Z</dcterms:created>
  <dcterms:modified xsi:type="dcterms:W3CDTF">2025-11-10T13:42:18Z</dcterms:modified>
</cp:coreProperties>
</file>